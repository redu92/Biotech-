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2EE39A1-4E06-4279-93FF-65CBBB87045A}" xr6:coauthVersionLast="47" xr6:coauthVersionMax="47" xr10:uidLastSave="{00000000-0000-0000-0000-000000000000}"/>
  <bookViews>
    <workbookView xWindow="-120" yWindow="-120" windowWidth="20730" windowHeight="11040" xr2:uid="{968A1546-B409-4C6A-B7C1-A89F5352FCE2}"/>
  </bookViews>
  <sheets>
    <sheet name="cost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3" l="1"/>
  <c r="E58" i="3"/>
  <c r="E20" i="3"/>
  <c r="E19" i="3"/>
  <c r="E18" i="3"/>
  <c r="E17" i="3"/>
  <c r="E6" i="3"/>
  <c r="E78" i="3"/>
  <c r="E67" i="3"/>
  <c r="E68" i="3"/>
  <c r="E69" i="3"/>
  <c r="E70" i="3"/>
  <c r="E71" i="3"/>
  <c r="E72" i="3"/>
  <c r="E73" i="3"/>
  <c r="E74" i="3"/>
  <c r="E75" i="3"/>
  <c r="E76" i="3"/>
  <c r="E77" i="3"/>
  <c r="E80" i="3"/>
  <c r="E4" i="3"/>
  <c r="E5" i="3"/>
  <c r="E7" i="3"/>
  <c r="E8" i="3"/>
  <c r="E9" i="3"/>
  <c r="E10" i="3"/>
  <c r="E11" i="3"/>
  <c r="E12" i="3"/>
  <c r="E13" i="3"/>
  <c r="E14" i="3"/>
  <c r="E15" i="3"/>
  <c r="E16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9" i="3"/>
  <c r="E60" i="3"/>
  <c r="E61" i="3"/>
  <c r="E62" i="3"/>
  <c r="E63" i="3"/>
  <c r="E64" i="3"/>
  <c r="E65" i="3"/>
  <c r="E66" i="3"/>
  <c r="E3" i="3" l="1"/>
</calcChain>
</file>

<file path=xl/sharedStrings.xml><?xml version="1.0" encoding="utf-8"?>
<sst xmlns="http://schemas.openxmlformats.org/spreadsheetml/2006/main" count="319" uniqueCount="172">
  <si>
    <t>ARA</t>
  </si>
  <si>
    <t>DHA</t>
  </si>
  <si>
    <t>insumos</t>
  </si>
  <si>
    <t>unidad</t>
  </si>
  <si>
    <t>Código</t>
  </si>
  <si>
    <t>Costo unitario</t>
  </si>
  <si>
    <t>a. ascorbico</t>
  </si>
  <si>
    <t>kg</t>
  </si>
  <si>
    <t>MPACD001</t>
  </si>
  <si>
    <t>MPACT001</t>
  </si>
  <si>
    <t>MPACD002</t>
  </si>
  <si>
    <t>algarrobo</t>
  </si>
  <si>
    <t>MPALR001</t>
  </si>
  <si>
    <t>MPAGA001</t>
  </si>
  <si>
    <t>arandano rojo</t>
  </si>
  <si>
    <t>MPARD001</t>
  </si>
  <si>
    <t>aroma a cereza aromas del peru</t>
  </si>
  <si>
    <t>MPARO001</t>
  </si>
  <si>
    <t>aroma cafe (aromas)</t>
  </si>
  <si>
    <t>MPARO002</t>
  </si>
  <si>
    <t>aroma chcolate clasico</t>
  </si>
  <si>
    <t>MPARO003</t>
  </si>
  <si>
    <t>aroma maracuya</t>
  </si>
  <si>
    <t>MPARO004</t>
  </si>
  <si>
    <t>aroma menta aromas del peru</t>
  </si>
  <si>
    <t>MPARO005</t>
  </si>
  <si>
    <t>MPARO006</t>
  </si>
  <si>
    <t>aroma uva</t>
  </si>
  <si>
    <t>MPARO007</t>
  </si>
  <si>
    <t>aroma vainilla</t>
  </si>
  <si>
    <t>MPARO008</t>
  </si>
  <si>
    <t>MPPRB001</t>
  </si>
  <si>
    <t>banano verde</t>
  </si>
  <si>
    <t>MPBAN001</t>
  </si>
  <si>
    <t>MPBET001</t>
  </si>
  <si>
    <t>cacao en polvo</t>
  </si>
  <si>
    <t>MPCAC001</t>
  </si>
  <si>
    <t xml:space="preserve">cafe </t>
  </si>
  <si>
    <t>MPCFE001</t>
  </si>
  <si>
    <t>MPEXT001</t>
  </si>
  <si>
    <t>carbonato de calcio</t>
  </si>
  <si>
    <t>MPCRB001</t>
  </si>
  <si>
    <t>cartilago de tiburon irradiado</t>
  </si>
  <si>
    <t>MPCTI001</t>
  </si>
  <si>
    <t>cartilago de tiburon sin irradiar</t>
  </si>
  <si>
    <t>MPCTI002</t>
  </si>
  <si>
    <t>MPCTT001</t>
  </si>
  <si>
    <t>citrato de potasio</t>
  </si>
  <si>
    <t>MPCTT002</t>
  </si>
  <si>
    <t>cloruro de magnesio</t>
  </si>
  <si>
    <t>MPCLR001</t>
  </si>
  <si>
    <t xml:space="preserve">colageno </t>
  </si>
  <si>
    <t>MPCOG001</t>
  </si>
  <si>
    <t>color amarillo n°6</t>
  </si>
  <si>
    <t>MPCOL001</t>
  </si>
  <si>
    <t>MPEXT003</t>
  </si>
  <si>
    <t>MPDHA001</t>
  </si>
  <si>
    <t>MPDIX001</t>
  </si>
  <si>
    <t>espirulina</t>
  </si>
  <si>
    <t>MPESP001</t>
  </si>
  <si>
    <t>extracto de ciruela</t>
  </si>
  <si>
    <t>MPEXT002</t>
  </si>
  <si>
    <t>extracto de limon</t>
  </si>
  <si>
    <t>MPEXT004</t>
  </si>
  <si>
    <t>extracto de manzanilla</t>
  </si>
  <si>
    <t>MPEXT005</t>
  </si>
  <si>
    <t>extracto de naranja</t>
  </si>
  <si>
    <t>MPEXT006</t>
  </si>
  <si>
    <t>extracto de naranja agria</t>
  </si>
  <si>
    <t>MPEXT007</t>
  </si>
  <si>
    <t>MPEXT008</t>
  </si>
  <si>
    <t xml:space="preserve">Extracto de zen </t>
  </si>
  <si>
    <t>MPEXT009</t>
  </si>
  <si>
    <t>fosfato tricalcico</t>
  </si>
  <si>
    <t>MPFFT001</t>
  </si>
  <si>
    <t>ganoderma</t>
  </si>
  <si>
    <t>MPEXT010</t>
  </si>
  <si>
    <t>garcinia cambogia</t>
  </si>
  <si>
    <t>MPGAR001</t>
  </si>
  <si>
    <t>glicinato de zinc</t>
  </si>
  <si>
    <t>MPGLI001</t>
  </si>
  <si>
    <t>glucosamina</t>
  </si>
  <si>
    <t>MPGLU001</t>
  </si>
  <si>
    <t>goma xantana</t>
  </si>
  <si>
    <t>MPGOM001</t>
  </si>
  <si>
    <t>hemoglobina deshidratada</t>
  </si>
  <si>
    <t>MPHEM001</t>
  </si>
  <si>
    <t>MPFIB001</t>
  </si>
  <si>
    <t>leche descremada</t>
  </si>
  <si>
    <t>MPLCH001</t>
  </si>
  <si>
    <t>MPLEC001</t>
  </si>
  <si>
    <t>maca en polvo</t>
  </si>
  <si>
    <t>MPMAC001</t>
  </si>
  <si>
    <t>maltodextrina</t>
  </si>
  <si>
    <t>MPMAL001</t>
  </si>
  <si>
    <t>mix vitaminico GK02</t>
  </si>
  <si>
    <t>MPVIT001</t>
  </si>
  <si>
    <t>polidextrosa</t>
  </si>
  <si>
    <t>MPPOL001</t>
  </si>
  <si>
    <t>MPPRO001</t>
  </si>
  <si>
    <t xml:space="preserve">proteina suero de leche </t>
  </si>
  <si>
    <t>MPPRO002</t>
  </si>
  <si>
    <t>quinua en polvo</t>
  </si>
  <si>
    <t>MPQNA001</t>
  </si>
  <si>
    <t>sabor a cereza marva</t>
  </si>
  <si>
    <t>MPSAB001</t>
  </si>
  <si>
    <t>sabor arandano</t>
  </si>
  <si>
    <t>MPSAB002</t>
  </si>
  <si>
    <t>sabor cereza</t>
  </si>
  <si>
    <t>sabor fresa</t>
  </si>
  <si>
    <t>MPSAB004</t>
  </si>
  <si>
    <t>sabor frutos rojos</t>
  </si>
  <si>
    <t>MPSAB005</t>
  </si>
  <si>
    <t xml:space="preserve">sabor leche </t>
  </si>
  <si>
    <t>MPSAB006</t>
  </si>
  <si>
    <t>sabor limon</t>
  </si>
  <si>
    <t>MPSAB007</t>
  </si>
  <si>
    <t xml:space="preserve">sabor menta </t>
  </si>
  <si>
    <t>MPSAB008</t>
  </si>
  <si>
    <t>sabor naranja gk</t>
  </si>
  <si>
    <t>MPSAB009</t>
  </si>
  <si>
    <t>sabor vainilla maprial</t>
  </si>
  <si>
    <t>sal de maras</t>
  </si>
  <si>
    <t>MPSAL001</t>
  </si>
  <si>
    <t>MPSTE001</t>
  </si>
  <si>
    <t>sucralosa</t>
  </si>
  <si>
    <t>MPSUC001</t>
  </si>
  <si>
    <t>MPTRP001</t>
  </si>
  <si>
    <t>vana blanca</t>
  </si>
  <si>
    <t>MPVAN001</t>
  </si>
  <si>
    <t>vana cappa</t>
  </si>
  <si>
    <t>MPVAN002</t>
  </si>
  <si>
    <t>vitamina B1</t>
  </si>
  <si>
    <t>MPVIT002</t>
  </si>
  <si>
    <t>MPVIT003</t>
  </si>
  <si>
    <t xml:space="preserve">vitamina b6 </t>
  </si>
  <si>
    <t>MPVIT005</t>
  </si>
  <si>
    <t>sanacel -fibra de avena</t>
  </si>
  <si>
    <t>MPSFA001</t>
  </si>
  <si>
    <t>extracto de tamarindo</t>
  </si>
  <si>
    <t>aceite de coco en polvo</t>
  </si>
  <si>
    <t>acido citrico anhidro</t>
  </si>
  <si>
    <t>PROVEEDOR</t>
  </si>
  <si>
    <t>MARVA</t>
  </si>
  <si>
    <t>GK</t>
  </si>
  <si>
    <t>AROMAS</t>
  </si>
  <si>
    <t>MAPRIAL</t>
  </si>
  <si>
    <t>BARENTZ</t>
  </si>
  <si>
    <t>camu camu atomizado</t>
  </si>
  <si>
    <t>citrato de magnesio anhidro</t>
  </si>
  <si>
    <t>ANDERS</t>
  </si>
  <si>
    <t>extracto de curcumina</t>
  </si>
  <si>
    <t>dioxido de silicio - chino</t>
  </si>
  <si>
    <t>extracto de te verde 40%</t>
  </si>
  <si>
    <t>lecitina de soya en polvo</t>
  </si>
  <si>
    <t>proteina concentrada de suero de leche al 80 %</t>
  </si>
  <si>
    <t>ALIGRANEL</t>
  </si>
  <si>
    <t>stevia RA40</t>
  </si>
  <si>
    <t>LAGE</t>
  </si>
  <si>
    <t>VALSA</t>
  </si>
  <si>
    <t>Columna1</t>
  </si>
  <si>
    <t>Betaglucano 70%</t>
  </si>
  <si>
    <t>ADIPLUS</t>
  </si>
  <si>
    <t>vitamina B12 1%</t>
  </si>
  <si>
    <t>aroma naranja dulce</t>
  </si>
  <si>
    <t>isabgol (PSYLLIUM HUSK)</t>
  </si>
  <si>
    <t>AOP</t>
  </si>
  <si>
    <t>bacillus coagulans</t>
  </si>
  <si>
    <t>tc</t>
  </si>
  <si>
    <t>triptófano</t>
  </si>
  <si>
    <t>yacón en polvo</t>
  </si>
  <si>
    <t>MPSFA002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</si>
</sst>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[$S/-280A]\ * #,##0.00_-;\-[$S/-280A]\ * #,##0.00_-;_-[$S/-28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65" fontId="2" fillId="2" borderId="1" xfId="0" applyNumberFormat="1" applyFont="1" applyFill="1" applyBorder="1"/>
    <xf numFmtId="164" fontId="0" fillId="0" borderId="0" xfId="2" applyFont="1"/>
    <xf numFmtId="0" fontId="0" fillId="0" borderId="0" xfId="0" applyAlignment="1">
      <alignment horizontal="right"/>
    </xf>
  </cellXfs>
  <cellStyles count="3">
    <cellStyle name="Moneda" xfId="2" builtinId="4"/>
    <cellStyle name="Normal" xfId="0" builtinId="0"/>
    <cellStyle name="Normal 2" xfId="1" xr:uid="{54429F17-13D6-4461-BAB8-F021E336B17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FF"/>
        </left>
        <right style="thin">
          <color rgb="FF0000FF"/>
        </right>
        <top style="thin">
          <color rgb="FF0000F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FF"/>
        </left>
        <right style="thin">
          <color rgb="FF0000FF"/>
        </right>
        <top style="thin">
          <color rgb="FF0000FF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rgb="FF0000FF"/>
        </left>
        <right style="thin">
          <color rgb="FF0000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E9D0D-74E9-450B-AD99-A4E13F92B657}" name="Tabla1" displayName="Tabla1" ref="A2:F80" totalsRowShown="0" headerRowDxfId="4">
  <autoFilter ref="A2:F80" xr:uid="{9F4E9D0D-74E9-450B-AD99-A4E13F92B657}"/>
  <tableColumns count="6">
    <tableColumn id="1" xr3:uid="{687BFADB-C967-4F8F-A478-DB7CACA8E4A9}" name="PROVEEDOR"/>
    <tableColumn id="2" xr3:uid="{F9598A63-E7D0-454A-8477-0E3191ECD9AC}" name="insumos" dataDxfId="3"/>
    <tableColumn id="3" xr3:uid="{5358DD57-95D8-49E7-9D22-29D57646D1D8}" name="unidad" dataDxfId="2"/>
    <tableColumn id="4" xr3:uid="{41C2DB8D-EA3B-410D-8C8A-61ABD485EF20}" name="Código" dataDxfId="1"/>
    <tableColumn id="5" xr3:uid="{2ABFA605-7C25-4C38-A993-6709C40B187A}" name="Costo unitario" dataDxfId="0"/>
    <tableColumn id="6" xr3:uid="{0E4412F1-F605-4CAD-B3E9-7208EA52B747}" name="Columna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67B6-FF40-42CC-82D3-A7A14DFFC641}">
  <dimension ref="A1:F80"/>
  <sheetViews>
    <sheetView tabSelected="1" zoomScale="98" zoomScaleNormal="98" workbookViewId="0">
      <selection activeCell="H79" sqref="H79"/>
    </sheetView>
  </sheetViews>
  <sheetFormatPr baseColWidth="10" defaultRowHeight="15" x14ac:dyDescent="0.25"/>
  <cols>
    <col min="1" max="1" width="13.85546875" customWidth="1"/>
    <col min="2" max="2" width="32" bestFit="1" customWidth="1"/>
    <col min="3" max="3" width="7.42578125" customWidth="1"/>
    <col min="4" max="4" width="12.28515625" bestFit="1" customWidth="1"/>
    <col min="5" max="5" width="17.5703125" customWidth="1"/>
    <col min="6" max="6" width="11.85546875" customWidth="1"/>
  </cols>
  <sheetData>
    <row r="1" spans="1:6" x14ac:dyDescent="0.25">
      <c r="A1">
        <v>3.4</v>
      </c>
      <c r="E1" s="7" t="s">
        <v>168</v>
      </c>
    </row>
    <row r="2" spans="1:6" x14ac:dyDescent="0.25">
      <c r="A2" t="s">
        <v>142</v>
      </c>
      <c r="B2" s="1" t="s">
        <v>2</v>
      </c>
      <c r="C2" s="1" t="s">
        <v>3</v>
      </c>
      <c r="D2" s="1" t="s">
        <v>4</v>
      </c>
      <c r="E2" s="1" t="s">
        <v>5</v>
      </c>
      <c r="F2" t="s">
        <v>160</v>
      </c>
    </row>
    <row r="3" spans="1:6" x14ac:dyDescent="0.25">
      <c r="A3" t="s">
        <v>143</v>
      </c>
      <c r="B3" s="2" t="s">
        <v>6</v>
      </c>
      <c r="C3" s="2" t="s">
        <v>7</v>
      </c>
      <c r="D3" s="2" t="s">
        <v>8</v>
      </c>
      <c r="E3" s="5">
        <f>+Tabla1[[#This Row],[Columna1]]*$A$1</f>
        <v>17</v>
      </c>
      <c r="F3" s="6">
        <v>5</v>
      </c>
    </row>
    <row r="4" spans="1:6" x14ac:dyDescent="0.25">
      <c r="A4" t="s">
        <v>144</v>
      </c>
      <c r="B4" s="2" t="s">
        <v>140</v>
      </c>
      <c r="C4" s="2" t="s">
        <v>7</v>
      </c>
      <c r="D4" s="2" t="s">
        <v>9</v>
      </c>
      <c r="E4" s="5">
        <f>+Tabla1[[#This Row],[Columna1]]*$A$1</f>
        <v>95.2</v>
      </c>
      <c r="F4" s="6">
        <v>28</v>
      </c>
    </row>
    <row r="5" spans="1:6" x14ac:dyDescent="0.25">
      <c r="A5" t="s">
        <v>143</v>
      </c>
      <c r="B5" s="2" t="s">
        <v>141</v>
      </c>
      <c r="C5" s="2" t="s">
        <v>7</v>
      </c>
      <c r="D5" s="2" t="s">
        <v>10</v>
      </c>
      <c r="E5" s="5">
        <f>+Tabla1[[#This Row],[Columna1]]*$A$1</f>
        <v>4.08</v>
      </c>
      <c r="F5" s="6">
        <v>1.2</v>
      </c>
    </row>
    <row r="6" spans="1:6" x14ac:dyDescent="0.25">
      <c r="A6" t="s">
        <v>166</v>
      </c>
      <c r="B6" s="2" t="s">
        <v>11</v>
      </c>
      <c r="C6" s="2" t="s">
        <v>7</v>
      </c>
      <c r="D6" s="2" t="s">
        <v>12</v>
      </c>
      <c r="E6" s="5">
        <f>+Tabla1[[#This Row],[Columna1]]*$A$1</f>
        <v>23.8</v>
      </c>
      <c r="F6" s="6">
        <v>7</v>
      </c>
    </row>
    <row r="7" spans="1:6" x14ac:dyDescent="0.25">
      <c r="A7" t="s">
        <v>144</v>
      </c>
      <c r="B7" s="2" t="s">
        <v>0</v>
      </c>
      <c r="C7" s="2" t="s">
        <v>7</v>
      </c>
      <c r="D7" s="2" t="s">
        <v>13</v>
      </c>
      <c r="E7" s="5">
        <f>+Tabla1[[#This Row],[Columna1]]*$A$1</f>
        <v>156.4</v>
      </c>
      <c r="F7" s="6">
        <v>46</v>
      </c>
    </row>
    <row r="8" spans="1:6" x14ac:dyDescent="0.25">
      <c r="A8" t="s">
        <v>166</v>
      </c>
      <c r="B8" s="2" t="s">
        <v>14</v>
      </c>
      <c r="C8" s="2" t="s">
        <v>7</v>
      </c>
      <c r="D8" s="2" t="s">
        <v>15</v>
      </c>
      <c r="E8" s="5">
        <f>+Tabla1[[#This Row],[Columna1]]*$A$1</f>
        <v>64.599999999999994</v>
      </c>
      <c r="F8" s="6">
        <v>19</v>
      </c>
    </row>
    <row r="9" spans="1:6" x14ac:dyDescent="0.25">
      <c r="A9" t="s">
        <v>145</v>
      </c>
      <c r="B9" s="2" t="s">
        <v>16</v>
      </c>
      <c r="C9" s="2" t="s">
        <v>7</v>
      </c>
      <c r="D9" s="2" t="s">
        <v>17</v>
      </c>
      <c r="E9" s="5">
        <f>+Tabla1[[#This Row],[Columna1]]*$A$1</f>
        <v>54.4</v>
      </c>
      <c r="F9" s="6">
        <v>16</v>
      </c>
    </row>
    <row r="10" spans="1:6" x14ac:dyDescent="0.25">
      <c r="A10" t="s">
        <v>145</v>
      </c>
      <c r="B10" s="2" t="s">
        <v>18</v>
      </c>
      <c r="C10" s="2" t="s">
        <v>7</v>
      </c>
      <c r="D10" s="2" t="s">
        <v>19</v>
      </c>
      <c r="E10" s="5">
        <f>+Tabla1[[#This Row],[Columna1]]*$A$1</f>
        <v>88.399999999999991</v>
      </c>
      <c r="F10" s="6">
        <v>26</v>
      </c>
    </row>
    <row r="11" spans="1:6" x14ac:dyDescent="0.25">
      <c r="A11" t="s">
        <v>145</v>
      </c>
      <c r="B11" s="2" t="s">
        <v>20</v>
      </c>
      <c r="C11" s="2" t="s">
        <v>7</v>
      </c>
      <c r="D11" s="2" t="s">
        <v>21</v>
      </c>
      <c r="E11" s="5">
        <f>+Tabla1[[#This Row],[Columna1]]*$A$1</f>
        <v>54.4</v>
      </c>
      <c r="F11" s="6">
        <v>16</v>
      </c>
    </row>
    <row r="12" spans="1:6" x14ac:dyDescent="0.25">
      <c r="A12" t="s">
        <v>145</v>
      </c>
      <c r="B12" s="2" t="s">
        <v>22</v>
      </c>
      <c r="C12" s="2" t="s">
        <v>7</v>
      </c>
      <c r="D12" s="2" t="s">
        <v>23</v>
      </c>
      <c r="E12" s="5">
        <f>+Tabla1[[#This Row],[Columna1]]*$A$1</f>
        <v>81.599999999999994</v>
      </c>
      <c r="F12" s="6">
        <v>24</v>
      </c>
    </row>
    <row r="13" spans="1:6" x14ac:dyDescent="0.25">
      <c r="A13" t="s">
        <v>145</v>
      </c>
      <c r="B13" s="2" t="s">
        <v>24</v>
      </c>
      <c r="C13" s="2" t="s">
        <v>7</v>
      </c>
      <c r="D13" s="2" t="s">
        <v>25</v>
      </c>
      <c r="E13" s="5">
        <f>+Tabla1[[#This Row],[Columna1]]*$A$1</f>
        <v>102</v>
      </c>
      <c r="F13" s="6">
        <v>30</v>
      </c>
    </row>
    <row r="14" spans="1:6" x14ac:dyDescent="0.25">
      <c r="A14" t="s">
        <v>145</v>
      </c>
      <c r="B14" s="2" t="s">
        <v>164</v>
      </c>
      <c r="C14" s="2" t="s">
        <v>7</v>
      </c>
      <c r="D14" s="2" t="s">
        <v>26</v>
      </c>
      <c r="E14" s="5">
        <f>+Tabla1[[#This Row],[Columna1]]*$A$1</f>
        <v>81.599999999999994</v>
      </c>
      <c r="F14" s="6">
        <v>24</v>
      </c>
    </row>
    <row r="15" spans="1:6" x14ac:dyDescent="0.25">
      <c r="A15" t="s">
        <v>145</v>
      </c>
      <c r="B15" s="2" t="s">
        <v>27</v>
      </c>
      <c r="C15" s="2" t="s">
        <v>7</v>
      </c>
      <c r="D15" s="2" t="s">
        <v>28</v>
      </c>
      <c r="E15" s="5">
        <f>+Tabla1[[#This Row],[Columna1]]*$A$1</f>
        <v>54.4</v>
      </c>
      <c r="F15" s="6">
        <v>16</v>
      </c>
    </row>
    <row r="16" spans="1:6" x14ac:dyDescent="0.25">
      <c r="A16" t="s">
        <v>145</v>
      </c>
      <c r="B16" s="2" t="s">
        <v>29</v>
      </c>
      <c r="C16" s="2" t="s">
        <v>7</v>
      </c>
      <c r="D16" s="2" t="s">
        <v>30</v>
      </c>
      <c r="E16" s="5">
        <f>+Tabla1[[#This Row],[Columna1]]*$A$1</f>
        <v>88.399999999999991</v>
      </c>
      <c r="F16" s="6">
        <v>26</v>
      </c>
    </row>
    <row r="17" spans="1:6" x14ac:dyDescent="0.25">
      <c r="A17" t="s">
        <v>166</v>
      </c>
      <c r="B17" s="2" t="s">
        <v>167</v>
      </c>
      <c r="C17" s="2" t="s">
        <v>7</v>
      </c>
      <c r="D17" s="2" t="s">
        <v>31</v>
      </c>
      <c r="E17" s="5">
        <f>+Tabla1[[#This Row],[Columna1]]*$A$1</f>
        <v>680</v>
      </c>
      <c r="F17" s="6">
        <v>200</v>
      </c>
    </row>
    <row r="18" spans="1:6" x14ac:dyDescent="0.25">
      <c r="A18" t="s">
        <v>166</v>
      </c>
      <c r="B18" s="2" t="s">
        <v>32</v>
      </c>
      <c r="C18" s="2" t="s">
        <v>7</v>
      </c>
      <c r="D18" s="2" t="s">
        <v>33</v>
      </c>
      <c r="E18" s="5">
        <f>+Tabla1[[#This Row],[Columna1]]*$A$1</f>
        <v>30.599999999999998</v>
      </c>
      <c r="F18" s="6">
        <v>9</v>
      </c>
    </row>
    <row r="19" spans="1:6" x14ac:dyDescent="0.25">
      <c r="A19" t="s">
        <v>144</v>
      </c>
      <c r="B19" s="2" t="s">
        <v>161</v>
      </c>
      <c r="C19" s="2" t="s">
        <v>7</v>
      </c>
      <c r="D19" s="2" t="s">
        <v>34</v>
      </c>
      <c r="E19" s="5">
        <f>+Tabla1[[#This Row],[Columna1]]*$A$1</f>
        <v>176.79999999999998</v>
      </c>
      <c r="F19" s="6">
        <v>52</v>
      </c>
    </row>
    <row r="20" spans="1:6" x14ac:dyDescent="0.25">
      <c r="A20" t="s">
        <v>166</v>
      </c>
      <c r="B20" s="2" t="s">
        <v>35</v>
      </c>
      <c r="C20" s="2" t="s">
        <v>7</v>
      </c>
      <c r="D20" s="2" t="s">
        <v>36</v>
      </c>
      <c r="E20" s="5">
        <f>+Tabla1[[#This Row],[Columna1]]*$A$1</f>
        <v>32.299999999999997</v>
      </c>
      <c r="F20" s="6">
        <v>9.5</v>
      </c>
    </row>
    <row r="21" spans="1:6" x14ac:dyDescent="0.25">
      <c r="A21" t="s">
        <v>147</v>
      </c>
      <c r="B21" s="2" t="s">
        <v>37</v>
      </c>
      <c r="C21" s="2" t="s">
        <v>7</v>
      </c>
      <c r="D21" s="2" t="s">
        <v>38</v>
      </c>
      <c r="E21" s="5">
        <f>+Tabla1[[#This Row],[Columna1]]*$A$1</f>
        <v>52.699999999999996</v>
      </c>
      <c r="F21" s="6">
        <v>15.5</v>
      </c>
    </row>
    <row r="22" spans="1:6" x14ac:dyDescent="0.25">
      <c r="A22" t="s">
        <v>166</v>
      </c>
      <c r="B22" s="2" t="s">
        <v>148</v>
      </c>
      <c r="C22" s="2" t="s">
        <v>7</v>
      </c>
      <c r="D22" s="2" t="s">
        <v>39</v>
      </c>
      <c r="E22" s="5">
        <f>+Tabla1[[#This Row],[Columna1]]*$A$1</f>
        <v>98.6</v>
      </c>
      <c r="F22" s="6">
        <v>29</v>
      </c>
    </row>
    <row r="23" spans="1:6" x14ac:dyDescent="0.25">
      <c r="A23" t="s">
        <v>144</v>
      </c>
      <c r="B23" s="2" t="s">
        <v>40</v>
      </c>
      <c r="C23" s="2" t="s">
        <v>7</v>
      </c>
      <c r="D23" s="2" t="s">
        <v>41</v>
      </c>
      <c r="E23" s="5">
        <f>+Tabla1[[#This Row],[Columna1]]*$A$1</f>
        <v>6.8</v>
      </c>
      <c r="F23" s="6">
        <v>2</v>
      </c>
    </row>
    <row r="24" spans="1:6" x14ac:dyDescent="0.25">
      <c r="A24" t="s">
        <v>144</v>
      </c>
      <c r="B24" s="2" t="s">
        <v>42</v>
      </c>
      <c r="C24" s="2" t="s">
        <v>7</v>
      </c>
      <c r="D24" s="2" t="s">
        <v>43</v>
      </c>
      <c r="E24" s="5">
        <f>+Tabla1[[#This Row],[Columna1]]*$A$1</f>
        <v>43.52</v>
      </c>
      <c r="F24" s="6">
        <v>12.8</v>
      </c>
    </row>
    <row r="25" spans="1:6" x14ac:dyDescent="0.25">
      <c r="A25" t="s">
        <v>144</v>
      </c>
      <c r="B25" s="2" t="s">
        <v>44</v>
      </c>
      <c r="C25" s="2" t="s">
        <v>7</v>
      </c>
      <c r="D25" s="2" t="s">
        <v>45</v>
      </c>
      <c r="E25" s="5">
        <f>+Tabla1[[#This Row],[Columna1]]*$A$1</f>
        <v>42.5</v>
      </c>
      <c r="F25" s="6">
        <v>12.5</v>
      </c>
    </row>
    <row r="26" spans="1:6" x14ac:dyDescent="0.25">
      <c r="A26" t="s">
        <v>144</v>
      </c>
      <c r="B26" s="2" t="s">
        <v>149</v>
      </c>
      <c r="C26" s="2" t="s">
        <v>7</v>
      </c>
      <c r="D26" s="2" t="s">
        <v>46</v>
      </c>
      <c r="E26" s="5">
        <f>+Tabla1[[#This Row],[Columna1]]*$A$1</f>
        <v>12.24</v>
      </c>
      <c r="F26" s="6">
        <v>3.6</v>
      </c>
    </row>
    <row r="27" spans="1:6" x14ac:dyDescent="0.25">
      <c r="A27" t="s">
        <v>144</v>
      </c>
      <c r="B27" s="2" t="s">
        <v>47</v>
      </c>
      <c r="C27" s="2" t="s">
        <v>7</v>
      </c>
      <c r="D27" s="2" t="s">
        <v>48</v>
      </c>
      <c r="E27" s="5">
        <f>+Tabla1[[#This Row],[Columna1]]*$A$1</f>
        <v>13.6</v>
      </c>
      <c r="F27" s="6">
        <v>4</v>
      </c>
    </row>
    <row r="28" spans="1:6" x14ac:dyDescent="0.25">
      <c r="A28" t="s">
        <v>143</v>
      </c>
      <c r="B28" s="2" t="s">
        <v>49</v>
      </c>
      <c r="C28" s="2" t="s">
        <v>7</v>
      </c>
      <c r="D28" s="2" t="s">
        <v>50</v>
      </c>
      <c r="E28" s="5">
        <f>+Tabla1[[#This Row],[Columna1]]*$A$1</f>
        <v>9.52</v>
      </c>
      <c r="F28" s="6">
        <v>2.8</v>
      </c>
    </row>
    <row r="29" spans="1:6" x14ac:dyDescent="0.25">
      <c r="A29" t="s">
        <v>144</v>
      </c>
      <c r="B29" s="2" t="s">
        <v>51</v>
      </c>
      <c r="C29" s="2" t="s">
        <v>7</v>
      </c>
      <c r="D29" s="2" t="s">
        <v>52</v>
      </c>
      <c r="E29" s="5">
        <f>+Tabla1[[#This Row],[Columna1]]*$A$1</f>
        <v>28.220000000000002</v>
      </c>
      <c r="F29" s="6">
        <v>8.3000000000000007</v>
      </c>
    </row>
    <row r="30" spans="1:6" x14ac:dyDescent="0.25">
      <c r="A30" t="s">
        <v>143</v>
      </c>
      <c r="B30" s="2" t="s">
        <v>53</v>
      </c>
      <c r="C30" s="2" t="s">
        <v>7</v>
      </c>
      <c r="D30" s="2" t="s">
        <v>54</v>
      </c>
      <c r="E30" s="5">
        <f>+Tabla1[[#This Row],[Columna1]]*$A$1</f>
        <v>25.5</v>
      </c>
      <c r="F30" s="6">
        <v>7.5</v>
      </c>
    </row>
    <row r="31" spans="1:6" x14ac:dyDescent="0.25">
      <c r="A31" t="s">
        <v>166</v>
      </c>
      <c r="B31" s="2" t="s">
        <v>151</v>
      </c>
      <c r="C31" s="2" t="s">
        <v>7</v>
      </c>
      <c r="D31" s="2" t="s">
        <v>55</v>
      </c>
      <c r="E31" s="5">
        <f>+Tabla1[[#This Row],[Columna1]]*$A$1</f>
        <v>176.79999999999998</v>
      </c>
      <c r="F31" s="6">
        <v>52</v>
      </c>
    </row>
    <row r="32" spans="1:6" x14ac:dyDescent="0.25">
      <c r="A32" t="s">
        <v>144</v>
      </c>
      <c r="B32" s="2" t="s">
        <v>1</v>
      </c>
      <c r="C32" s="2" t="s">
        <v>7</v>
      </c>
      <c r="D32" s="2" t="s">
        <v>56</v>
      </c>
      <c r="E32" s="5">
        <f>+Tabla1[[#This Row],[Columna1]]*$A$1</f>
        <v>136</v>
      </c>
      <c r="F32" s="6">
        <v>40</v>
      </c>
    </row>
    <row r="33" spans="1:6" x14ac:dyDescent="0.25">
      <c r="A33" t="s">
        <v>143</v>
      </c>
      <c r="B33" s="2" t="s">
        <v>152</v>
      </c>
      <c r="C33" s="2" t="s">
        <v>7</v>
      </c>
      <c r="D33" s="2" t="s">
        <v>57</v>
      </c>
      <c r="E33" s="5">
        <f>+Tabla1[[#This Row],[Columna1]]*$A$1</f>
        <v>17</v>
      </c>
      <c r="F33" s="6">
        <v>5</v>
      </c>
    </row>
    <row r="34" spans="1:6" x14ac:dyDescent="0.25">
      <c r="A34" t="s">
        <v>166</v>
      </c>
      <c r="B34" s="2" t="s">
        <v>58</v>
      </c>
      <c r="C34" s="2" t="s">
        <v>7</v>
      </c>
      <c r="D34" s="2" t="s">
        <v>59</v>
      </c>
      <c r="E34" s="5">
        <f>+Tabla1[[#This Row],[Columna1]]*$A$1</f>
        <v>30.599999999999998</v>
      </c>
      <c r="F34" s="6">
        <v>9</v>
      </c>
    </row>
    <row r="35" spans="1:6" x14ac:dyDescent="0.25">
      <c r="A35" t="s">
        <v>166</v>
      </c>
      <c r="B35" s="2" t="s">
        <v>60</v>
      </c>
      <c r="C35" s="2" t="s">
        <v>7</v>
      </c>
      <c r="D35" s="2" t="s">
        <v>61</v>
      </c>
      <c r="E35" s="5">
        <f>+Tabla1[[#This Row],[Columna1]]*$A$1</f>
        <v>51</v>
      </c>
      <c r="F35" s="6">
        <v>15</v>
      </c>
    </row>
    <row r="36" spans="1:6" x14ac:dyDescent="0.25">
      <c r="A36" t="s">
        <v>166</v>
      </c>
      <c r="B36" s="2" t="s">
        <v>62</v>
      </c>
      <c r="C36" s="2" t="s">
        <v>7</v>
      </c>
      <c r="D36" s="2" t="s">
        <v>63</v>
      </c>
      <c r="E36" s="5">
        <f>+Tabla1[[#This Row],[Columna1]]*$A$1</f>
        <v>57.8</v>
      </c>
      <c r="F36" s="6">
        <v>17</v>
      </c>
    </row>
    <row r="37" spans="1:6" x14ac:dyDescent="0.25">
      <c r="A37" t="s">
        <v>166</v>
      </c>
      <c r="B37" s="2" t="s">
        <v>64</v>
      </c>
      <c r="C37" s="2" t="s">
        <v>7</v>
      </c>
      <c r="D37" s="2" t="s">
        <v>65</v>
      </c>
      <c r="E37" s="5">
        <f>+Tabla1[[#This Row],[Columna1]]*$A$1</f>
        <v>68</v>
      </c>
      <c r="F37" s="6">
        <v>20</v>
      </c>
    </row>
    <row r="38" spans="1:6" x14ac:dyDescent="0.25">
      <c r="A38" t="s">
        <v>166</v>
      </c>
      <c r="B38" s="2" t="s">
        <v>66</v>
      </c>
      <c r="C38" s="2" t="s">
        <v>7</v>
      </c>
      <c r="D38" s="2" t="s">
        <v>67</v>
      </c>
      <c r="E38" s="5">
        <f>+Tabla1[[#This Row],[Columna1]]*$A$1</f>
        <v>64.599999999999994</v>
      </c>
      <c r="F38" s="6">
        <v>19</v>
      </c>
    </row>
    <row r="39" spans="1:6" x14ac:dyDescent="0.25">
      <c r="A39" t="s">
        <v>166</v>
      </c>
      <c r="B39" s="2" t="s">
        <v>68</v>
      </c>
      <c r="C39" s="2" t="s">
        <v>7</v>
      </c>
      <c r="D39" s="2" t="s">
        <v>69</v>
      </c>
      <c r="E39" s="5">
        <f>+Tabla1[[#This Row],[Columna1]]*$A$1</f>
        <v>78.2</v>
      </c>
      <c r="F39" s="6">
        <v>23</v>
      </c>
    </row>
    <row r="40" spans="1:6" x14ac:dyDescent="0.25">
      <c r="A40" t="s">
        <v>166</v>
      </c>
      <c r="B40" s="2" t="s">
        <v>153</v>
      </c>
      <c r="C40" s="2" t="s">
        <v>7</v>
      </c>
      <c r="D40" s="2" t="s">
        <v>70</v>
      </c>
      <c r="E40" s="5">
        <f>+Tabla1[[#This Row],[Columna1]]*$A$1</f>
        <v>61.199999999999996</v>
      </c>
      <c r="F40" s="6">
        <v>18</v>
      </c>
    </row>
    <row r="41" spans="1:6" x14ac:dyDescent="0.25">
      <c r="A41" t="s">
        <v>166</v>
      </c>
      <c r="B41" s="2" t="s">
        <v>71</v>
      </c>
      <c r="C41" s="2" t="s">
        <v>7</v>
      </c>
      <c r="D41" s="2" t="s">
        <v>72</v>
      </c>
      <c r="E41" s="5">
        <f>+Tabla1[[#This Row],[Columna1]]*$A$1</f>
        <v>74.8</v>
      </c>
      <c r="F41" s="6">
        <v>22</v>
      </c>
    </row>
    <row r="42" spans="1:6" x14ac:dyDescent="0.25">
      <c r="A42" t="s">
        <v>143</v>
      </c>
      <c r="B42" s="2" t="s">
        <v>73</v>
      </c>
      <c r="C42" s="2" t="s">
        <v>7</v>
      </c>
      <c r="D42" s="2" t="s">
        <v>74</v>
      </c>
      <c r="E42" s="5">
        <f>+Tabla1[[#This Row],[Columna1]]*$A$1</f>
        <v>6.8</v>
      </c>
      <c r="F42" s="6">
        <v>2</v>
      </c>
    </row>
    <row r="43" spans="1:6" x14ac:dyDescent="0.25">
      <c r="A43" t="s">
        <v>166</v>
      </c>
      <c r="B43" s="2" t="s">
        <v>75</v>
      </c>
      <c r="C43" s="2" t="s">
        <v>7</v>
      </c>
      <c r="D43" s="2" t="s">
        <v>76</v>
      </c>
      <c r="E43" s="5">
        <f>+Tabla1[[#This Row],[Columna1]]*$A$1</f>
        <v>61.199999999999996</v>
      </c>
      <c r="F43" s="6">
        <v>18</v>
      </c>
    </row>
    <row r="44" spans="1:6" x14ac:dyDescent="0.25">
      <c r="A44" t="s">
        <v>166</v>
      </c>
      <c r="B44" s="2" t="s">
        <v>77</v>
      </c>
      <c r="C44" s="2" t="s">
        <v>7</v>
      </c>
      <c r="D44" s="2" t="s">
        <v>78</v>
      </c>
      <c r="E44" s="5">
        <f>+Tabla1[[#This Row],[Columna1]]*$A$1</f>
        <v>64.599999999999994</v>
      </c>
      <c r="F44" s="6">
        <v>19</v>
      </c>
    </row>
    <row r="45" spans="1:6" x14ac:dyDescent="0.25">
      <c r="A45" t="s">
        <v>144</v>
      </c>
      <c r="B45" s="2" t="s">
        <v>79</v>
      </c>
      <c r="C45" s="2" t="s">
        <v>7</v>
      </c>
      <c r="D45" s="2" t="s">
        <v>80</v>
      </c>
      <c r="E45" s="5">
        <f>+Tabla1[[#This Row],[Columna1]]*$A$1</f>
        <v>30.599999999999998</v>
      </c>
      <c r="F45" s="6">
        <v>9</v>
      </c>
    </row>
    <row r="46" spans="1:6" x14ac:dyDescent="0.25">
      <c r="A46" t="s">
        <v>144</v>
      </c>
      <c r="B46" s="2" t="s">
        <v>81</v>
      </c>
      <c r="C46" s="2" t="s">
        <v>7</v>
      </c>
      <c r="D46" s="2" t="s">
        <v>82</v>
      </c>
      <c r="E46" s="5">
        <f>+Tabla1[[#This Row],[Columna1]]*$A$1</f>
        <v>34</v>
      </c>
      <c r="F46" s="6">
        <v>10</v>
      </c>
    </row>
    <row r="47" spans="1:6" x14ac:dyDescent="0.25">
      <c r="A47" t="s">
        <v>143</v>
      </c>
      <c r="B47" s="2" t="s">
        <v>83</v>
      </c>
      <c r="C47" s="2" t="s">
        <v>7</v>
      </c>
      <c r="D47" s="2" t="s">
        <v>84</v>
      </c>
      <c r="E47" s="5">
        <f>+Tabla1[[#This Row],[Columna1]]*$A$1</f>
        <v>17</v>
      </c>
      <c r="F47" s="6">
        <v>5</v>
      </c>
    </row>
    <row r="48" spans="1:6" x14ac:dyDescent="0.25">
      <c r="A48" t="s">
        <v>166</v>
      </c>
      <c r="B48" s="2" t="s">
        <v>85</v>
      </c>
      <c r="C48" s="2" t="s">
        <v>7</v>
      </c>
      <c r="D48" s="2" t="s">
        <v>86</v>
      </c>
      <c r="E48" s="5">
        <f>+Tabla1[[#This Row],[Columna1]]*$A$1</f>
        <v>23.8</v>
      </c>
      <c r="F48" s="6">
        <v>7</v>
      </c>
    </row>
    <row r="49" spans="1:6" x14ac:dyDescent="0.25">
      <c r="A49" t="s">
        <v>144</v>
      </c>
      <c r="B49" s="2" t="s">
        <v>165</v>
      </c>
      <c r="C49" s="2" t="s">
        <v>7</v>
      </c>
      <c r="D49" s="2" t="s">
        <v>87</v>
      </c>
      <c r="E49" s="5">
        <f>+Tabla1[[#This Row],[Columna1]]*$A$1</f>
        <v>45.9</v>
      </c>
      <c r="F49" s="6">
        <v>13.5</v>
      </c>
    </row>
    <row r="50" spans="1:6" x14ac:dyDescent="0.25">
      <c r="A50" t="s">
        <v>162</v>
      </c>
      <c r="B50" s="2" t="s">
        <v>88</v>
      </c>
      <c r="C50" s="2" t="s">
        <v>7</v>
      </c>
      <c r="D50" s="2" t="s">
        <v>89</v>
      </c>
      <c r="E50" s="5">
        <f>+Tabla1[[#This Row],[Columna1]]*$A$1</f>
        <v>13.26</v>
      </c>
      <c r="F50" s="6">
        <v>3.9</v>
      </c>
    </row>
    <row r="51" spans="1:6" x14ac:dyDescent="0.25">
      <c r="A51" t="s">
        <v>144</v>
      </c>
      <c r="B51" s="2" t="s">
        <v>154</v>
      </c>
      <c r="C51" s="2" t="s">
        <v>7</v>
      </c>
      <c r="D51" s="2" t="s">
        <v>90</v>
      </c>
      <c r="E51" s="5">
        <f>+Tabla1[[#This Row],[Columna1]]*$A$1</f>
        <v>30.599999999999998</v>
      </c>
      <c r="F51" s="6">
        <v>9</v>
      </c>
    </row>
    <row r="52" spans="1:6" x14ac:dyDescent="0.25">
      <c r="A52" t="s">
        <v>166</v>
      </c>
      <c r="B52" s="2" t="s">
        <v>91</v>
      </c>
      <c r="C52" s="2" t="s">
        <v>7</v>
      </c>
      <c r="D52" s="2" t="s">
        <v>92</v>
      </c>
      <c r="E52" s="5">
        <f>+Tabla1[[#This Row],[Columna1]]*$A$1</f>
        <v>34</v>
      </c>
      <c r="F52" s="6">
        <v>10</v>
      </c>
    </row>
    <row r="53" spans="1:6" x14ac:dyDescent="0.25">
      <c r="A53" t="s">
        <v>143</v>
      </c>
      <c r="B53" s="2" t="s">
        <v>93</v>
      </c>
      <c r="C53" s="2" t="s">
        <v>7</v>
      </c>
      <c r="D53" s="2" t="s">
        <v>94</v>
      </c>
      <c r="E53" s="5">
        <f>+Tabla1[[#This Row],[Columna1]]*$A$1</f>
        <v>3.06</v>
      </c>
      <c r="F53" s="6">
        <v>0.9</v>
      </c>
    </row>
    <row r="54" spans="1:6" x14ac:dyDescent="0.25">
      <c r="A54" t="s">
        <v>144</v>
      </c>
      <c r="B54" s="2" t="s">
        <v>95</v>
      </c>
      <c r="C54" s="2" t="s">
        <v>7</v>
      </c>
      <c r="D54" s="2" t="s">
        <v>96</v>
      </c>
      <c r="E54" s="5">
        <f>+Tabla1[[#This Row],[Columna1]]*$A$1</f>
        <v>61.199999999999996</v>
      </c>
      <c r="F54" s="6">
        <v>18</v>
      </c>
    </row>
    <row r="55" spans="1:6" x14ac:dyDescent="0.25">
      <c r="A55" t="s">
        <v>143</v>
      </c>
      <c r="B55" s="2" t="s">
        <v>97</v>
      </c>
      <c r="C55" s="2" t="s">
        <v>7</v>
      </c>
      <c r="D55" s="2" t="s">
        <v>98</v>
      </c>
      <c r="E55" s="5">
        <f>+Tabla1[[#This Row],[Columna1]]*$A$1</f>
        <v>5.7799999999999994</v>
      </c>
      <c r="F55" s="6">
        <v>1.7</v>
      </c>
    </row>
    <row r="56" spans="1:6" x14ac:dyDescent="0.25">
      <c r="A56" t="s">
        <v>144</v>
      </c>
      <c r="B56" s="2" t="s">
        <v>155</v>
      </c>
      <c r="C56" s="2" t="s">
        <v>7</v>
      </c>
      <c r="D56" s="2" t="s">
        <v>99</v>
      </c>
      <c r="E56" s="5">
        <f>+Tabla1[[#This Row],[Columna1]]*$A$1</f>
        <v>47.6</v>
      </c>
      <c r="F56" s="6">
        <v>14</v>
      </c>
    </row>
    <row r="57" spans="1:6" x14ac:dyDescent="0.25">
      <c r="A57" t="s">
        <v>144</v>
      </c>
      <c r="B57" s="2" t="s">
        <v>100</v>
      </c>
      <c r="C57" s="2" t="s">
        <v>7</v>
      </c>
      <c r="D57" s="2" t="s">
        <v>101</v>
      </c>
      <c r="E57" s="5">
        <f>+Tabla1[[#This Row],[Columna1]]*$A$1</f>
        <v>47.6</v>
      </c>
      <c r="F57" s="6">
        <v>14</v>
      </c>
    </row>
    <row r="58" spans="1:6" x14ac:dyDescent="0.25">
      <c r="A58" t="s">
        <v>166</v>
      </c>
      <c r="B58" s="2" t="s">
        <v>102</v>
      </c>
      <c r="C58" s="2" t="s">
        <v>7</v>
      </c>
      <c r="D58" s="2" t="s">
        <v>103</v>
      </c>
      <c r="E58" s="5">
        <f>+Tabla1[[#This Row],[Columna1]]*$A$1</f>
        <v>20.399999999999999</v>
      </c>
      <c r="F58" s="6">
        <v>6</v>
      </c>
    </row>
    <row r="59" spans="1:6" x14ac:dyDescent="0.25">
      <c r="A59" t="s">
        <v>143</v>
      </c>
      <c r="B59" s="2" t="s">
        <v>104</v>
      </c>
      <c r="C59" s="2" t="s">
        <v>7</v>
      </c>
      <c r="D59" s="2" t="s">
        <v>105</v>
      </c>
      <c r="E59" s="5">
        <f>+Tabla1[[#This Row],[Columna1]]*$A$1</f>
        <v>47.6</v>
      </c>
      <c r="F59" s="6">
        <v>14</v>
      </c>
    </row>
    <row r="60" spans="1:6" x14ac:dyDescent="0.25">
      <c r="A60" t="s">
        <v>143</v>
      </c>
      <c r="B60" s="2" t="s">
        <v>106</v>
      </c>
      <c r="C60" s="2" t="s">
        <v>7</v>
      </c>
      <c r="D60" s="2" t="s">
        <v>107</v>
      </c>
      <c r="E60" s="5">
        <f>+Tabla1[[#This Row],[Columna1]]*$A$1</f>
        <v>61.199999999999996</v>
      </c>
      <c r="F60" s="6">
        <v>18</v>
      </c>
    </row>
    <row r="61" spans="1:6" x14ac:dyDescent="0.25">
      <c r="A61" t="s">
        <v>143</v>
      </c>
      <c r="B61" s="2" t="s">
        <v>108</v>
      </c>
      <c r="C61" s="2" t="s">
        <v>7</v>
      </c>
      <c r="D61" s="2" t="s">
        <v>105</v>
      </c>
      <c r="E61" s="5">
        <f>+Tabla1[[#This Row],[Columna1]]*$A$1</f>
        <v>47.6</v>
      </c>
      <c r="F61" s="6">
        <v>14</v>
      </c>
    </row>
    <row r="62" spans="1:6" x14ac:dyDescent="0.25">
      <c r="A62" t="s">
        <v>143</v>
      </c>
      <c r="B62" s="2" t="s">
        <v>109</v>
      </c>
      <c r="C62" s="2" t="s">
        <v>7</v>
      </c>
      <c r="D62" s="2" t="s">
        <v>110</v>
      </c>
      <c r="E62" s="5">
        <f>+Tabla1[[#This Row],[Columna1]]*$A$1</f>
        <v>54.4</v>
      </c>
      <c r="F62" s="6">
        <v>16</v>
      </c>
    </row>
    <row r="63" spans="1:6" x14ac:dyDescent="0.25">
      <c r="A63" t="s">
        <v>143</v>
      </c>
      <c r="B63" s="2" t="s">
        <v>111</v>
      </c>
      <c r="C63" s="2" t="s">
        <v>7</v>
      </c>
      <c r="D63" s="2" t="s">
        <v>112</v>
      </c>
      <c r="E63" s="5">
        <f>+Tabla1[[#This Row],[Columna1]]*$A$1</f>
        <v>62.9</v>
      </c>
      <c r="F63" s="6">
        <v>18.5</v>
      </c>
    </row>
    <row r="64" spans="1:6" x14ac:dyDescent="0.25">
      <c r="A64" t="s">
        <v>143</v>
      </c>
      <c r="B64" s="2" t="s">
        <v>113</v>
      </c>
      <c r="C64" s="2" t="s">
        <v>7</v>
      </c>
      <c r="D64" s="2" t="s">
        <v>114</v>
      </c>
      <c r="E64" s="5">
        <f>+Tabla1[[#This Row],[Columna1]]*$A$1</f>
        <v>68</v>
      </c>
      <c r="F64" s="6">
        <v>20</v>
      </c>
    </row>
    <row r="65" spans="1:6" x14ac:dyDescent="0.25">
      <c r="A65" t="s">
        <v>143</v>
      </c>
      <c r="B65" s="2" t="s">
        <v>115</v>
      </c>
      <c r="C65" s="2" t="s">
        <v>7</v>
      </c>
      <c r="D65" s="2" t="s">
        <v>116</v>
      </c>
      <c r="E65" s="5">
        <f>+Tabla1[[#This Row],[Columna1]]*$A$1</f>
        <v>54.4</v>
      </c>
      <c r="F65" s="6">
        <v>16</v>
      </c>
    </row>
    <row r="66" spans="1:6" x14ac:dyDescent="0.25">
      <c r="A66" t="s">
        <v>143</v>
      </c>
      <c r="B66" s="2" t="s">
        <v>117</v>
      </c>
      <c r="C66" s="2" t="s">
        <v>7</v>
      </c>
      <c r="D66" s="2" t="s">
        <v>118</v>
      </c>
      <c r="E66" s="5">
        <f>+Tabla1[[#This Row],[Columna1]]*$A$1</f>
        <v>44.199999999999996</v>
      </c>
      <c r="F66" s="6">
        <v>13</v>
      </c>
    </row>
    <row r="67" spans="1:6" x14ac:dyDescent="0.25">
      <c r="A67" t="s">
        <v>143</v>
      </c>
      <c r="B67" s="2" t="s">
        <v>119</v>
      </c>
      <c r="C67" s="2" t="s">
        <v>7</v>
      </c>
      <c r="D67" s="2" t="s">
        <v>120</v>
      </c>
      <c r="E67" s="5">
        <f>+Tabla1[[#This Row],[Columna1]]*$A$1</f>
        <v>54.4</v>
      </c>
      <c r="F67" s="6">
        <v>16</v>
      </c>
    </row>
    <row r="68" spans="1:6" x14ac:dyDescent="0.25">
      <c r="A68" t="s">
        <v>146</v>
      </c>
      <c r="B68" s="2" t="s">
        <v>121</v>
      </c>
      <c r="C68" s="2" t="s">
        <v>7</v>
      </c>
      <c r="D68" s="2" t="s">
        <v>120</v>
      </c>
      <c r="E68" s="5">
        <f>+Tabla1[[#This Row],[Columna1]]*$A$1</f>
        <v>72.08</v>
      </c>
      <c r="F68" s="6">
        <v>21.2</v>
      </c>
    </row>
    <row r="69" spans="1:6" x14ac:dyDescent="0.25">
      <c r="A69" t="s">
        <v>156</v>
      </c>
      <c r="B69" s="2" t="s">
        <v>122</v>
      </c>
      <c r="C69" s="2" t="s">
        <v>7</v>
      </c>
      <c r="D69" s="2" t="s">
        <v>123</v>
      </c>
      <c r="E69" s="5">
        <f>+Tabla1[[#This Row],[Columna1]]*$A$1</f>
        <v>13.735999999999999</v>
      </c>
      <c r="F69" s="6">
        <v>4.04</v>
      </c>
    </row>
    <row r="70" spans="1:6" x14ac:dyDescent="0.25">
      <c r="A70" t="s">
        <v>144</v>
      </c>
      <c r="B70" s="2" t="s">
        <v>157</v>
      </c>
      <c r="C70" s="2" t="s">
        <v>7</v>
      </c>
      <c r="D70" s="2" t="s">
        <v>124</v>
      </c>
      <c r="E70" s="5">
        <f>+Tabla1[[#This Row],[Columna1]]*$A$1</f>
        <v>115.6</v>
      </c>
      <c r="F70" s="6">
        <v>34</v>
      </c>
    </row>
    <row r="71" spans="1:6" x14ac:dyDescent="0.25">
      <c r="A71" t="s">
        <v>144</v>
      </c>
      <c r="B71" s="2" t="s">
        <v>125</v>
      </c>
      <c r="C71" s="2" t="s">
        <v>7</v>
      </c>
      <c r="D71" s="2" t="s">
        <v>126</v>
      </c>
      <c r="E71" s="5">
        <f>+Tabla1[[#This Row],[Columna1]]*$A$1</f>
        <v>102</v>
      </c>
      <c r="F71" s="6">
        <v>30</v>
      </c>
    </row>
    <row r="72" spans="1:6" x14ac:dyDescent="0.25">
      <c r="A72" t="s">
        <v>144</v>
      </c>
      <c r="B72" s="2" t="s">
        <v>169</v>
      </c>
      <c r="C72" s="2" t="s">
        <v>7</v>
      </c>
      <c r="D72" s="2" t="s">
        <v>127</v>
      </c>
      <c r="E72" s="5">
        <f>+Tabla1[[#This Row],[Columna1]]*$A$1</f>
        <v>91.8</v>
      </c>
      <c r="F72" s="6">
        <v>27</v>
      </c>
    </row>
    <row r="73" spans="1:6" x14ac:dyDescent="0.25">
      <c r="A73" t="s">
        <v>147</v>
      </c>
      <c r="B73" s="2" t="s">
        <v>128</v>
      </c>
      <c r="C73" s="2" t="s">
        <v>7</v>
      </c>
      <c r="D73" s="2" t="s">
        <v>129</v>
      </c>
      <c r="E73" s="5">
        <f>+Tabla1[[#This Row],[Columna1]]*$A$1</f>
        <v>17</v>
      </c>
      <c r="F73" s="6">
        <v>5</v>
      </c>
    </row>
    <row r="74" spans="1:6" x14ac:dyDescent="0.25">
      <c r="A74" t="s">
        <v>147</v>
      </c>
      <c r="B74" s="2" t="s">
        <v>130</v>
      </c>
      <c r="C74" s="2" t="s">
        <v>7</v>
      </c>
      <c r="D74" s="2" t="s">
        <v>131</v>
      </c>
      <c r="E74" s="5">
        <f>+Tabla1[[#This Row],[Columna1]]*$A$1</f>
        <v>23.119999999999997</v>
      </c>
      <c r="F74" s="6">
        <v>6.8</v>
      </c>
    </row>
    <row r="75" spans="1:6" x14ac:dyDescent="0.25">
      <c r="A75" t="s">
        <v>158</v>
      </c>
      <c r="B75" s="2" t="s">
        <v>132</v>
      </c>
      <c r="C75" s="2" t="s">
        <v>7</v>
      </c>
      <c r="D75" s="2" t="s">
        <v>133</v>
      </c>
      <c r="E75" s="5">
        <f>+Tabla1[[#This Row],[Columna1]]*$A$1</f>
        <v>197.2</v>
      </c>
      <c r="F75" s="6">
        <v>58</v>
      </c>
    </row>
    <row r="76" spans="1:6" x14ac:dyDescent="0.25">
      <c r="A76" t="s">
        <v>144</v>
      </c>
      <c r="B76" s="2" t="s">
        <v>163</v>
      </c>
      <c r="C76" s="2" t="s">
        <v>7</v>
      </c>
      <c r="D76" s="2" t="s">
        <v>134</v>
      </c>
      <c r="E76" s="5">
        <f>+Tabla1[[#This Row],[Columna1]]*$A$1</f>
        <v>238</v>
      </c>
      <c r="F76" s="6">
        <v>70</v>
      </c>
    </row>
    <row r="77" spans="1:6" x14ac:dyDescent="0.25">
      <c r="A77" t="s">
        <v>144</v>
      </c>
      <c r="B77" s="3" t="s">
        <v>135</v>
      </c>
      <c r="C77" s="3" t="s">
        <v>7</v>
      </c>
      <c r="D77" s="2" t="s">
        <v>136</v>
      </c>
      <c r="E77" s="5">
        <f>+Tabla1[[#This Row],[Columna1]]*$A$1</f>
        <v>146.19999999999999</v>
      </c>
      <c r="F77" s="6">
        <v>43</v>
      </c>
    </row>
    <row r="78" spans="1:6" x14ac:dyDescent="0.25">
      <c r="A78" t="s">
        <v>150</v>
      </c>
      <c r="B78" s="4" t="s">
        <v>137</v>
      </c>
      <c r="C78" s="4" t="s">
        <v>7</v>
      </c>
      <c r="D78" s="2" t="s">
        <v>138</v>
      </c>
      <c r="E78" s="5">
        <f>+Tabla1[[#This Row],[Columna1]]*$A$1</f>
        <v>10.88</v>
      </c>
      <c r="F78" s="6">
        <v>3.2</v>
      </c>
    </row>
    <row r="79" spans="1:6" x14ac:dyDescent="0.25">
      <c r="A79" t="s">
        <v>166</v>
      </c>
      <c r="B79" s="3" t="s">
        <v>170</v>
      </c>
      <c r="C79" s="3" t="s">
        <v>7</v>
      </c>
      <c r="D79" s="2" t="s">
        <v>171</v>
      </c>
      <c r="E79" s="5">
        <f>+Tabla1[[#This Row],[Columna1]]*$A$1</f>
        <v>13.6</v>
      </c>
      <c r="F79" s="6">
        <v>4</v>
      </c>
    </row>
    <row r="80" spans="1:6" x14ac:dyDescent="0.25">
      <c r="A80" t="s">
        <v>159</v>
      </c>
      <c r="B80" s="4" t="s">
        <v>139</v>
      </c>
      <c r="C80" s="4" t="s">
        <v>7</v>
      </c>
      <c r="D80" s="2" t="s">
        <v>39</v>
      </c>
      <c r="E80" s="5">
        <f>+Tabla1[[#This Row],[Columna1]]*$A$1</f>
        <v>74.8</v>
      </c>
      <c r="F80" s="6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Ramírez</dc:creator>
  <cp:lastModifiedBy>Antony Ramírez</cp:lastModifiedBy>
  <dcterms:created xsi:type="dcterms:W3CDTF">2025-01-14T18:27:10Z</dcterms:created>
  <dcterms:modified xsi:type="dcterms:W3CDTF">2025-12-02T06:14:36Z</dcterms:modified>
</cp:coreProperties>
</file>